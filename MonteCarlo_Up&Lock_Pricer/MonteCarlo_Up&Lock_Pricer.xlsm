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SKEMA\Courses\Structured Products Equity and FX\"/>
    </mc:Choice>
  </mc:AlternateContent>
  <xr:revisionPtr revIDLastSave="0" documentId="13_ncr:1_{4DFADA75-FDF2-4435-A7C8-E994ED6396DF}" xr6:coauthVersionLast="47" xr6:coauthVersionMax="47" xr10:uidLastSave="{00000000-0000-0000-0000-000000000000}"/>
  <bookViews>
    <workbookView xWindow="10886" yWindow="0" windowWidth="11143" windowHeight="13080" xr2:uid="{00000000-000D-0000-FFFF-FFFF00000000}"/>
  </bookViews>
  <sheets>
    <sheet name="Tremplin" sheetId="1" r:id="rId1"/>
  </sheets>
  <functionGroups builtInGroupCount="19"/>
  <calcPr calcId="191029" calcMode="manual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" l="1"/>
  <c r="D18" i="1"/>
  <c r="D20" i="1" s="1"/>
  <c r="B1" i="1" l="1"/>
  <c r="B2" i="1" s="1"/>
  <c r="D16" i="1" a="1"/>
  <c r="F17" i="1" a="1"/>
  <c r="E17" i="1" a="1"/>
  <c r="D17" i="1" a="1"/>
  <c r="B17" i="1" a="1"/>
  <c r="C17" i="1" a="1"/>
  <c r="F17" i="1" l="1"/>
  <c r="D16" i="1"/>
  <c r="C17" i="1"/>
  <c r="B17" i="1"/>
  <c r="D17" i="1"/>
  <c r="E17" i="1"/>
  <c r="I3" i="1" l="1"/>
  <c r="I4" i="1" s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<sst xmlns="http://schemas.openxmlformats.org/spreadsheetml/2006/main" count="28" uniqueCount="28">
  <si>
    <t>Today</t>
  </si>
  <si>
    <t>Maturity</t>
  </si>
  <si>
    <t>Option</t>
  </si>
  <si>
    <t>Spot</t>
  </si>
  <si>
    <t>K</t>
  </si>
  <si>
    <t>Volatility</t>
  </si>
  <si>
    <t>r</t>
  </si>
  <si>
    <t>MonteCarlo Price</t>
  </si>
  <si>
    <t>Numbers of Paths</t>
  </si>
  <si>
    <t>Payout</t>
  </si>
  <si>
    <t>American Digital 10%</t>
  </si>
  <si>
    <t>American Digital 15%</t>
  </si>
  <si>
    <t>Barrier</t>
  </si>
  <si>
    <t>ZCB</t>
  </si>
  <si>
    <t>Total Cost</t>
  </si>
  <si>
    <t>EU Call</t>
  </si>
  <si>
    <t>BS Price</t>
  </si>
  <si>
    <t>American KO Call 120</t>
  </si>
  <si>
    <t>American KO Call 150</t>
  </si>
  <si>
    <t>N(d1)</t>
  </si>
  <si>
    <t>N(d2)</t>
  </si>
  <si>
    <t>d1</t>
  </si>
  <si>
    <t>Confidence Intervall 95%</t>
  </si>
  <si>
    <t>Lower Bound</t>
  </si>
  <si>
    <t>Upper Bound</t>
  </si>
  <si>
    <t>Marge</t>
  </si>
  <si>
    <t>years</t>
  </si>
  <si>
    <t>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</si>
</sst>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/>
    <xf numFmtId="0" fontId="1" fillId="0" borderId="2" xfId="0" applyFont="1" applyBorder="1"/>
    <xf numFmtId="0" fontId="1" fillId="0" borderId="5" xfId="0" applyFont="1" applyBorder="1"/>
    <xf numFmtId="0" fontId="0" fillId="0" borderId="6" xfId="0" applyBorder="1"/>
    <xf numFmtId="10" fontId="2" fillId="0" borderId="6" xfId="0" applyNumberFormat="1" applyFont="1" applyBorder="1"/>
    <xf numFmtId="10" fontId="0" fillId="0" borderId="6" xfId="0" applyNumberFormat="1" applyBorder="1"/>
    <xf numFmtId="0" fontId="1" fillId="0" borderId="7" xfId="0" applyFont="1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" xfId="0" applyFont="1" applyBorder="1"/>
    <xf numFmtId="0" fontId="1" fillId="0" borderId="13" xfId="0" applyFont="1" applyBorder="1"/>
    <xf numFmtId="0" fontId="1" fillId="0" borderId="14" xfId="0" applyFont="1" applyBorder="1"/>
    <xf numFmtId="0" fontId="0" fillId="0" borderId="3" xfId="0" applyBorder="1"/>
    <xf numFmtId="2" fontId="0" fillId="0" borderId="3" xfId="0" applyNumberFormat="1" applyBorder="1"/>
    <xf numFmtId="0" fontId="0" fillId="0" borderId="4" xfId="0" applyBorder="1"/>
    <xf numFmtId="2" fontId="0" fillId="0" borderId="8" xfId="0" applyNumberFormat="1" applyBorder="1"/>
    <xf numFmtId="2" fontId="0" fillId="0" borderId="8" xfId="0" quotePrefix="1" applyNumberFormat="1" applyBorder="1"/>
    <xf numFmtId="2" fontId="0" fillId="0" borderId="9" xfId="0" applyNumberFormat="1" applyBorder="1"/>
    <xf numFmtId="0" fontId="0" fillId="0" borderId="2" xfId="0" applyBorder="1"/>
    <xf numFmtId="0" fontId="0" fillId="0" borderId="7" xfId="0" applyBorder="1"/>
    <xf numFmtId="0" fontId="0" fillId="0" borderId="5" xfId="0" applyBorder="1"/>
    <xf numFmtId="10" fontId="0" fillId="0" borderId="5" xfId="0" applyNumberFormat="1" applyBorder="1"/>
    <xf numFmtId="10" fontId="2" fillId="0" borderId="0" xfId="0" applyNumberFormat="1" applyFon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4"/>
  <sheetViews>
    <sheetView tabSelected="1" topLeftCell="B1" zoomScale="80" zoomScaleNormal="80" workbookViewId="0">
      <selection activeCell="E14" sqref="E14"/>
    </sheetView>
  </sheetViews>
  <sheetFormatPr defaultRowHeight="14.6" x14ac:dyDescent="0.4"/>
  <cols>
    <col min="1" max="2" width="25.69140625" customWidth="1"/>
    <col min="3" max="3" width="25.61328125" customWidth="1"/>
    <col min="4" max="4" width="11.23046875" customWidth="1"/>
    <col min="5" max="5" width="24.921875" customWidth="1"/>
    <col min="6" max="6" width="22.921875" customWidth="1"/>
    <col min="8" max="8" width="19.53515625" bestFit="1" customWidth="1"/>
  </cols>
  <sheetData>
    <row r="1" spans="1:9" x14ac:dyDescent="0.4">
      <c r="A1" t="s">
        <v>0</v>
      </c>
      <c r="B1" s="1">
        <f ca="1">TODAY()</f>
        <v>45367</v>
      </c>
      <c r="H1" t="s">
        <v>13</v>
      </c>
      <c r="I1">
        <f>100*EXP(-B12*C2)</f>
        <v>77.259523210692805</v>
      </c>
    </row>
    <row r="2" spans="1:9" x14ac:dyDescent="0.4">
      <c r="A2" s="3" t="s">
        <v>1</v>
      </c>
      <c r="B2" s="2">
        <f ca="1">EDATE(B1, 12*C2)</f>
        <v>46828</v>
      </c>
      <c r="C2">
        <v>4</v>
      </c>
      <c r="D2" t="s">
        <v>26</v>
      </c>
      <c r="H2" t="s">
        <v>27</v>
      </c>
      <c r="I2">
        <f ca="1">SUM(F17,E17,1/2*D17,1/2*C17,1/2*B17)</f>
        <v>18.669127971245036</v>
      </c>
    </row>
    <row r="3" spans="1:9" x14ac:dyDescent="0.4">
      <c r="H3" t="s">
        <v>14</v>
      </c>
      <c r="I3">
        <f ca="1">SUM(I1,F17,E17,1/2*D17,1/2*C17,1/2*B17)</f>
        <v>95.928651181937823</v>
      </c>
    </row>
    <row r="4" spans="1:9" x14ac:dyDescent="0.4">
      <c r="H4" t="s">
        <v>25</v>
      </c>
      <c r="I4">
        <f ca="1">100 -I3</f>
        <v>4.0713488180621766</v>
      </c>
    </row>
    <row r="5" spans="1:9" ht="15" thickBot="1" x14ac:dyDescent="0.45"/>
    <row r="6" spans="1:9" ht="15" thickBot="1" x14ac:dyDescent="0.45">
      <c r="A6" s="15" t="s">
        <v>2</v>
      </c>
      <c r="B6" s="16" t="s">
        <v>17</v>
      </c>
      <c r="C6" s="16" t="s">
        <v>18</v>
      </c>
      <c r="D6" s="16" t="s">
        <v>15</v>
      </c>
      <c r="E6" s="16" t="s">
        <v>10</v>
      </c>
      <c r="F6" s="17" t="s">
        <v>11</v>
      </c>
    </row>
    <row r="7" spans="1:9" x14ac:dyDescent="0.4">
      <c r="A7" s="13" t="s">
        <v>4</v>
      </c>
      <c r="B7" s="24">
        <v>100</v>
      </c>
      <c r="C7" s="18">
        <v>120</v>
      </c>
      <c r="D7" s="18">
        <v>150</v>
      </c>
      <c r="E7" s="18"/>
      <c r="F7" s="20"/>
    </row>
    <row r="8" spans="1:9" x14ac:dyDescent="0.4">
      <c r="A8" s="13" t="s">
        <v>12</v>
      </c>
      <c r="B8" s="26">
        <v>120</v>
      </c>
      <c r="C8">
        <v>150</v>
      </c>
      <c r="E8">
        <v>120</v>
      </c>
      <c r="F8" s="6">
        <v>150</v>
      </c>
    </row>
    <row r="9" spans="1:9" x14ac:dyDescent="0.4">
      <c r="A9" s="13" t="s">
        <v>9</v>
      </c>
      <c r="B9" s="26"/>
      <c r="E9">
        <v>10</v>
      </c>
      <c r="F9" s="6">
        <v>15</v>
      </c>
    </row>
    <row r="10" spans="1:9" x14ac:dyDescent="0.4">
      <c r="A10" s="13" t="s">
        <v>3</v>
      </c>
      <c r="B10" s="26">
        <v>100</v>
      </c>
      <c r="C10" s="26">
        <v>100</v>
      </c>
      <c r="D10" s="26">
        <v>100</v>
      </c>
      <c r="E10" s="26">
        <v>100</v>
      </c>
      <c r="F10" s="26">
        <v>100</v>
      </c>
    </row>
    <row r="11" spans="1:9" x14ac:dyDescent="0.4">
      <c r="A11" s="13" t="s">
        <v>5</v>
      </c>
      <c r="B11" s="27">
        <v>0.26079999999999998</v>
      </c>
      <c r="C11" s="28">
        <v>0.23719999999999999</v>
      </c>
      <c r="D11" s="28">
        <v>0.21560000000000001</v>
      </c>
      <c r="E11" s="28">
        <v>0.23719999999999999</v>
      </c>
      <c r="F11" s="7">
        <v>0.21560000000000001</v>
      </c>
    </row>
    <row r="12" spans="1:9" x14ac:dyDescent="0.4">
      <c r="A12" s="13" t="s">
        <v>6</v>
      </c>
      <c r="B12" s="27">
        <v>6.4500000000000002E-2</v>
      </c>
      <c r="C12" s="29"/>
      <c r="D12" s="29"/>
      <c r="E12" s="29"/>
      <c r="F12" s="8"/>
    </row>
    <row r="13" spans="1:9" ht="15" thickBot="1" x14ac:dyDescent="0.45">
      <c r="A13" s="14" t="s">
        <v>8</v>
      </c>
      <c r="B13" s="25">
        <v>5000</v>
      </c>
      <c r="C13" s="10"/>
      <c r="D13" s="10"/>
      <c r="E13" s="10"/>
      <c r="F13" s="11"/>
    </row>
    <row r="15" spans="1:9" ht="15" thickBot="1" x14ac:dyDescent="0.45"/>
    <row r="16" spans="1:9" x14ac:dyDescent="0.4">
      <c r="A16" s="12" t="s">
        <v>16</v>
      </c>
      <c r="B16" s="18"/>
      <c r="C16" s="18"/>
      <c r="D16" s="19" cm="1">
        <f t="array" aca="1" ref="D16" ca="1">BnS(D10,D7,B2,D11,B12, "Call")</f>
        <v>11.536899612415311</v>
      </c>
      <c r="E16" s="18"/>
      <c r="F16" s="20"/>
    </row>
    <row r="17" spans="1:6" ht="15" thickBot="1" x14ac:dyDescent="0.45">
      <c r="A17" s="14" t="s">
        <v>7</v>
      </c>
      <c r="B17" s="21" cm="1">
        <f t="array" aca="1" ref="B17" ca="1">A_KOCall(B10,B7,B8,B11,B2,B12,B13)</f>
        <v>1.0176482811286356</v>
      </c>
      <c r="C17" s="21" cm="1">
        <f t="array" aca="1" ref="C17" ca="1">A_KOCall(C10,C7,C8,C11,B2,B12,B13)</f>
        <v>1.9842621802728806</v>
      </c>
      <c r="D17" s="22" cm="1">
        <f t="array" aca="1" ref="D17" ca="1">EUCall(D10,D7,D11,B2,B12,B13)</f>
        <v>11.499375969732521</v>
      </c>
      <c r="E17" s="21" cm="1">
        <f t="array" aca="1" ref="E17" ca="1">ADigitalCall($E$10,E8,E9,$E$11,$B$2,$B$12,$B$13)</f>
        <v>5.9494770388467115</v>
      </c>
      <c r="F17" s="23" cm="1">
        <f t="array" aca="1" ref="F17" ca="1">ADigitalCall($D$10,F8,F9,$F$11,$B$2,$B$12,$B$13)</f>
        <v>5.4690077168313058</v>
      </c>
    </row>
    <row r="18" spans="1:6" x14ac:dyDescent="0.4">
      <c r="A18" s="4" t="s">
        <v>21</v>
      </c>
      <c r="B18" s="18"/>
      <c r="C18" s="18"/>
      <c r="D18" s="18">
        <f>(LOG(D10/D7) + (B12 +B11^2/2)*3)/(B11*SQRT(3))</f>
        <v>0.26439831054645591</v>
      </c>
      <c r="E18" s="18"/>
      <c r="F18" s="20"/>
    </row>
    <row r="19" spans="1:6" x14ac:dyDescent="0.4">
      <c r="A19" s="5" t="s">
        <v>19</v>
      </c>
      <c r="D19">
        <v>0.63927248902306655</v>
      </c>
      <c r="F19" s="6"/>
    </row>
    <row r="20" spans="1:6" ht="15" thickBot="1" x14ac:dyDescent="0.45">
      <c r="A20" s="9" t="s">
        <v>20</v>
      </c>
      <c r="B20" s="10"/>
      <c r="C20" s="10"/>
      <c r="D20" s="10">
        <f>_xlfn.NORM.S.DIST(D18-B11*SQRT(3), TRUE)</f>
        <v>0.42570465968741478</v>
      </c>
      <c r="E20" s="10"/>
      <c r="F20" s="11"/>
    </row>
    <row r="21" spans="1:6" ht="15" thickBot="1" x14ac:dyDescent="0.45"/>
    <row r="22" spans="1:6" ht="15" thickBot="1" x14ac:dyDescent="0.45">
      <c r="A22" s="15" t="s">
        <v>22</v>
      </c>
    </row>
    <row r="23" spans="1:6" x14ac:dyDescent="0.4">
      <c r="A23" s="13" t="s">
        <v>23</v>
      </c>
      <c r="B23" s="24">
        <v>1.2070000000000001</v>
      </c>
      <c r="C23" s="18">
        <v>1.9970000000000001</v>
      </c>
      <c r="D23" s="18">
        <v>7</v>
      </c>
      <c r="E23" s="18">
        <v>5.76</v>
      </c>
      <c r="F23" s="20">
        <v>4.49</v>
      </c>
    </row>
    <row r="24" spans="1:6" ht="15" thickBot="1" x14ac:dyDescent="0.45">
      <c r="A24" s="14" t="s">
        <v>24</v>
      </c>
      <c r="B24" s="25">
        <v>1.4</v>
      </c>
      <c r="C24" s="10">
        <v>2.2970000000000002</v>
      </c>
      <c r="D24" s="10">
        <v>8.1199999999999992</v>
      </c>
      <c r="E24" s="10">
        <v>5.97</v>
      </c>
      <c r="F24" s="11">
        <v>4.82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Tremplin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Xuan Vinh</dc:creator>
  <cp:lastModifiedBy>NGUYEN, Xuan Vinh</cp:lastModifiedBy>
  <dcterms:created xsi:type="dcterms:W3CDTF">2015-06-05T18:19:34Z</dcterms:created>
  <dcterms:modified xsi:type="dcterms:W3CDTF">2024-03-16T16:11:33Z</dcterms:modified>
</cp:coreProperties>
</file>